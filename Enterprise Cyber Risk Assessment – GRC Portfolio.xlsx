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6097B4B-E87F-4D31-9747-0F831F8577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ecutive Summary" sheetId="1" r:id="rId1"/>
    <sheet name="Risk Register" sheetId="2" r:id="rId2"/>
    <sheet name="Roadm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2" l="1"/>
  <c r="G9" i="2" s="1"/>
  <c r="E8" i="2"/>
  <c r="G8" i="2" s="1"/>
  <c r="G7" i="2"/>
  <c r="E7" i="2"/>
  <c r="E6" i="2"/>
  <c r="G6" i="2" s="1"/>
  <c r="E5" i="2"/>
  <c r="G5" i="2" s="1"/>
  <c r="E4" i="2"/>
  <c r="G4" i="2" s="1"/>
  <c r="G3" i="2"/>
  <c r="E3" i="2"/>
  <c r="E2" i="2"/>
  <c r="G2" i="2" s="1"/>
</calcChain>
</file>

<file path=xl/sharedStrings.xml><?xml version="1.0" encoding="utf-8"?>
<sst xmlns="http://schemas.openxmlformats.org/spreadsheetml/2006/main" count="100" uniqueCount="68">
  <si>
    <t>Enterprise Cyber Risk Assessment &amp; Mitigation (GRC Case Study)</t>
  </si>
  <si>
    <t>Key Findings:</t>
  </si>
  <si>
    <t>- Identified critical risks including ransomware, phishing, and cloud misconfiguration.</t>
  </si>
  <si>
    <t>- Potential financial exposure exceeds £2M annually.</t>
  </si>
  <si>
    <t>- Controls aligned with NIST, ISO 27001, CIS Controls.</t>
  </si>
  <si>
    <t>Risk ID</t>
  </si>
  <si>
    <t>Risk Description</t>
  </si>
  <si>
    <t>Likelihood</t>
  </si>
  <si>
    <t>Impact</t>
  </si>
  <si>
    <t>Inherent Risk</t>
  </si>
  <si>
    <t>Control Effectiveness (%)</t>
  </si>
  <si>
    <t>Residual Risk</t>
  </si>
  <si>
    <t>Risk Appetite</t>
  </si>
  <si>
    <t>Priority</t>
  </si>
  <si>
    <t>Financial Impact (£)</t>
  </si>
  <si>
    <t>Operational Impact</t>
  </si>
  <si>
    <t>Reputational Impact</t>
  </si>
  <si>
    <t>Regulatory Impact</t>
  </si>
  <si>
    <t>Controls</t>
  </si>
  <si>
    <t>R1</t>
  </si>
  <si>
    <t>Ransomware attack</t>
  </si>
  <si>
    <t>High</t>
  </si>
  <si>
    <t>Critical</t>
  </si>
  <si>
    <t>£1,000,000</t>
  </si>
  <si>
    <t>Severe</t>
  </si>
  <si>
    <t>GDPR</t>
  </si>
  <si>
    <t>EDR, backups, MFA</t>
  </si>
  <si>
    <t>R2</t>
  </si>
  <si>
    <t>Phishing attack</t>
  </si>
  <si>
    <t>£500,000</t>
  </si>
  <si>
    <t>Phishing training, MFA</t>
  </si>
  <si>
    <t>R3</t>
  </si>
  <si>
    <t>Cloud misconfiguration</t>
  </si>
  <si>
    <t>Medium</t>
  </si>
  <si>
    <t>£300,000</t>
  </si>
  <si>
    <t>ISO27001</t>
  </si>
  <si>
    <t>CSPM tools</t>
  </si>
  <si>
    <t>R4</t>
  </si>
  <si>
    <t>Insider threat</t>
  </si>
  <si>
    <t>£400,000</t>
  </si>
  <si>
    <t>Access controls</t>
  </si>
  <si>
    <t>R5</t>
  </si>
  <si>
    <t>Third-party breach</t>
  </si>
  <si>
    <t>£350,000</t>
  </si>
  <si>
    <t>Vendor risk mgmt</t>
  </si>
  <si>
    <t>R6</t>
  </si>
  <si>
    <t>Weak passwords</t>
  </si>
  <si>
    <t>Low</t>
  </si>
  <si>
    <t>£200,000</t>
  </si>
  <si>
    <t>NIST</t>
  </si>
  <si>
    <t>Password policy</t>
  </si>
  <si>
    <t>R7</t>
  </si>
  <si>
    <t>Unpatched systems</t>
  </si>
  <si>
    <t>£250,000</t>
  </si>
  <si>
    <t>Patch mgmt</t>
  </si>
  <si>
    <t>R8</t>
  </si>
  <si>
    <t>Data leakage</t>
  </si>
  <si>
    <t>£450,000</t>
  </si>
  <si>
    <t>DLP tools</t>
  </si>
  <si>
    <t>30/60/90 Day Roadmap</t>
  </si>
  <si>
    <t>Timeline</t>
  </si>
  <si>
    <t>Actions</t>
  </si>
  <si>
    <t>30 Days</t>
  </si>
  <si>
    <t>Risk assessment, quick wins (MFA, patching)</t>
  </si>
  <si>
    <t>60 Days</t>
  </si>
  <si>
    <t>Implement monitoring, vendor reviews</t>
  </si>
  <si>
    <t>90 Days</t>
  </si>
  <si>
    <t>Audit, optimize controls, report to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</si>
</sst>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 x14ac:dyDescent="0.35"/>
  <cols>
    <col min="1" max="1" width="72.1796875" bestFit="1" customWidth="1"/>
  </cols>
  <sheetData>
    <row r="1" spans="1:1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workbookViewId="0">
      <selection activeCell="A3" sqref="A3"/>
    </sheetView>
  </sheetViews>
  <sheetFormatPr defaultRowHeight="14.5" x14ac:dyDescent="0.35"/>
  <cols>
    <col min="1" max="1" width="6.36328125" bestFit="1" customWidth="1"/>
    <col min="2" max="2" width="20.26953125" bestFit="1" customWidth="1"/>
    <col min="3" max="3" width="9.26953125" bestFit="1" customWidth="1"/>
    <col min="4" max="4" width="6.54296875" bestFit="1" customWidth="1"/>
    <col min="5" max="5" width="11.7265625" bestFit="1" customWidth="1"/>
    <col min="6" max="6" width="21.7265625" bestFit="1" customWidth="1"/>
    <col min="7" max="7" width="11.54296875" bestFit="1" customWidth="1"/>
    <col min="8" max="8" width="11.6328125" bestFit="1" customWidth="1"/>
    <col min="9" max="9" width="7.81640625" bestFit="1" customWidth="1"/>
    <col min="10" max="10" width="17.1796875" bestFit="1" customWidth="1"/>
    <col min="11" max="11" width="17.08984375" bestFit="1" customWidth="1"/>
    <col min="12" max="12" width="17.81640625" bestFit="1" customWidth="1"/>
    <col min="13" max="13" width="16" bestFit="1" customWidth="1"/>
    <col min="14" max="14" width="19.453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35">
      <c r="A2" t="s">
        <v>19</v>
      </c>
      <c r="B2" t="s">
        <v>20</v>
      </c>
      <c r="C2">
        <v>5</v>
      </c>
      <c r="D2">
        <v>5</v>
      </c>
      <c r="E2">
        <f t="shared" ref="E2:E9" si="0">C2*D2</f>
        <v>25</v>
      </c>
      <c r="F2">
        <v>40</v>
      </c>
      <c r="G2">
        <f t="shared" ref="G2:G9" si="1">E2*(1-F2/100)</f>
        <v>15</v>
      </c>
      <c r="H2" t="s">
        <v>21</v>
      </c>
      <c r="I2" t="s">
        <v>22</v>
      </c>
      <c r="J2" t="s">
        <v>23</v>
      </c>
      <c r="K2" t="s">
        <v>24</v>
      </c>
      <c r="L2" t="s">
        <v>21</v>
      </c>
      <c r="M2" t="s">
        <v>25</v>
      </c>
      <c r="N2" t="s">
        <v>26</v>
      </c>
    </row>
    <row r="3" spans="1:14" x14ac:dyDescent="0.35">
      <c r="A3" t="s">
        <v>27</v>
      </c>
      <c r="B3" t="s">
        <v>28</v>
      </c>
      <c r="C3">
        <v>4</v>
      </c>
      <c r="D3">
        <v>5</v>
      </c>
      <c r="E3">
        <f t="shared" si="0"/>
        <v>20</v>
      </c>
      <c r="F3">
        <v>60</v>
      </c>
      <c r="G3">
        <f t="shared" si="1"/>
        <v>8</v>
      </c>
      <c r="H3" t="s">
        <v>21</v>
      </c>
      <c r="I3" t="s">
        <v>21</v>
      </c>
      <c r="J3" t="s">
        <v>29</v>
      </c>
      <c r="K3" t="s">
        <v>21</v>
      </c>
      <c r="L3" t="s">
        <v>21</v>
      </c>
      <c r="M3" t="s">
        <v>25</v>
      </c>
      <c r="N3" t="s">
        <v>30</v>
      </c>
    </row>
    <row r="4" spans="1:14" x14ac:dyDescent="0.35">
      <c r="A4" t="s">
        <v>31</v>
      </c>
      <c r="B4" t="s">
        <v>32</v>
      </c>
      <c r="C4">
        <v>4</v>
      </c>
      <c r="D4">
        <v>4</v>
      </c>
      <c r="E4">
        <f t="shared" si="0"/>
        <v>16</v>
      </c>
      <c r="F4">
        <v>50</v>
      </c>
      <c r="G4">
        <f t="shared" si="1"/>
        <v>8</v>
      </c>
      <c r="H4" t="s">
        <v>33</v>
      </c>
      <c r="I4" t="s">
        <v>21</v>
      </c>
      <c r="J4" t="s">
        <v>34</v>
      </c>
      <c r="K4" t="s">
        <v>33</v>
      </c>
      <c r="L4" t="s">
        <v>33</v>
      </c>
      <c r="M4" t="s">
        <v>35</v>
      </c>
      <c r="N4" t="s">
        <v>36</v>
      </c>
    </row>
    <row r="5" spans="1:14" x14ac:dyDescent="0.35">
      <c r="A5" t="s">
        <v>37</v>
      </c>
      <c r="B5" t="s">
        <v>38</v>
      </c>
      <c r="C5">
        <v>3</v>
      </c>
      <c r="D5">
        <v>5</v>
      </c>
      <c r="E5">
        <f t="shared" si="0"/>
        <v>15</v>
      </c>
      <c r="F5">
        <v>45</v>
      </c>
      <c r="G5">
        <f t="shared" si="1"/>
        <v>8.25</v>
      </c>
      <c r="H5" t="s">
        <v>33</v>
      </c>
      <c r="I5" t="s">
        <v>21</v>
      </c>
      <c r="J5" t="s">
        <v>39</v>
      </c>
      <c r="K5" t="s">
        <v>21</v>
      </c>
      <c r="L5" t="s">
        <v>21</v>
      </c>
      <c r="M5" t="s">
        <v>25</v>
      </c>
      <c r="N5" t="s">
        <v>40</v>
      </c>
    </row>
    <row r="6" spans="1:14" x14ac:dyDescent="0.35">
      <c r="A6" t="s">
        <v>41</v>
      </c>
      <c r="B6" t="s">
        <v>42</v>
      </c>
      <c r="C6">
        <v>4</v>
      </c>
      <c r="D6">
        <v>4</v>
      </c>
      <c r="E6">
        <f t="shared" si="0"/>
        <v>16</v>
      </c>
      <c r="F6">
        <v>50</v>
      </c>
      <c r="G6">
        <f t="shared" si="1"/>
        <v>8</v>
      </c>
      <c r="H6" t="s">
        <v>33</v>
      </c>
      <c r="I6" t="s">
        <v>21</v>
      </c>
      <c r="J6" t="s">
        <v>43</v>
      </c>
      <c r="K6" t="s">
        <v>21</v>
      </c>
      <c r="L6" t="s">
        <v>33</v>
      </c>
      <c r="M6" t="s">
        <v>25</v>
      </c>
      <c r="N6" t="s">
        <v>44</v>
      </c>
    </row>
    <row r="7" spans="1:14" x14ac:dyDescent="0.35">
      <c r="A7" t="s">
        <v>45</v>
      </c>
      <c r="B7" t="s">
        <v>46</v>
      </c>
      <c r="C7">
        <v>3</v>
      </c>
      <c r="D7">
        <v>4</v>
      </c>
      <c r="E7">
        <f t="shared" si="0"/>
        <v>12</v>
      </c>
      <c r="F7">
        <v>70</v>
      </c>
      <c r="G7">
        <f t="shared" si="1"/>
        <v>3.6000000000000005</v>
      </c>
      <c r="H7" t="s">
        <v>47</v>
      </c>
      <c r="I7" t="s">
        <v>33</v>
      </c>
      <c r="J7" t="s">
        <v>48</v>
      </c>
      <c r="K7" t="s">
        <v>33</v>
      </c>
      <c r="L7" t="s">
        <v>47</v>
      </c>
      <c r="M7" t="s">
        <v>49</v>
      </c>
      <c r="N7" t="s">
        <v>50</v>
      </c>
    </row>
    <row r="8" spans="1:14" x14ac:dyDescent="0.35">
      <c r="A8" t="s">
        <v>51</v>
      </c>
      <c r="B8" t="s">
        <v>52</v>
      </c>
      <c r="C8">
        <v>4</v>
      </c>
      <c r="D8">
        <v>4</v>
      </c>
      <c r="E8">
        <f t="shared" si="0"/>
        <v>16</v>
      </c>
      <c r="F8">
        <v>55</v>
      </c>
      <c r="G8">
        <f t="shared" si="1"/>
        <v>7.1999999999999993</v>
      </c>
      <c r="H8" t="s">
        <v>33</v>
      </c>
      <c r="I8" t="s">
        <v>21</v>
      </c>
      <c r="J8" t="s">
        <v>53</v>
      </c>
      <c r="K8" t="s">
        <v>21</v>
      </c>
      <c r="L8" t="s">
        <v>33</v>
      </c>
      <c r="M8" t="s">
        <v>49</v>
      </c>
      <c r="N8" t="s">
        <v>54</v>
      </c>
    </row>
    <row r="9" spans="1:14" x14ac:dyDescent="0.35">
      <c r="A9" t="s">
        <v>55</v>
      </c>
      <c r="B9" t="s">
        <v>56</v>
      </c>
      <c r="C9">
        <v>3</v>
      </c>
      <c r="D9">
        <v>5</v>
      </c>
      <c r="E9">
        <f t="shared" si="0"/>
        <v>15</v>
      </c>
      <c r="F9">
        <v>50</v>
      </c>
      <c r="G9">
        <f t="shared" si="1"/>
        <v>7.5</v>
      </c>
      <c r="H9" t="s">
        <v>33</v>
      </c>
      <c r="I9" t="s">
        <v>21</v>
      </c>
      <c r="J9" t="s">
        <v>57</v>
      </c>
      <c r="K9" t="s">
        <v>21</v>
      </c>
      <c r="L9" t="s">
        <v>21</v>
      </c>
      <c r="M9" t="s">
        <v>25</v>
      </c>
      <c r="N9" t="s">
        <v>58</v>
      </c>
    </row>
  </sheetData>
  <conditionalFormatting sqref="G2:G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cols>
    <col min="1" max="1" width="20.7265625" bestFit="1" customWidth="1"/>
    <col min="2" max="2" width="38.7265625" bestFit="1" customWidth="1"/>
  </cols>
  <sheetData>
    <row r="1" spans="1:2" x14ac:dyDescent="0.35">
      <c r="A1" s="1" t="s">
        <v>59</v>
      </c>
    </row>
    <row r="2" spans="1:2" x14ac:dyDescent="0.35">
      <c r="A2" t="s">
        <v>60</v>
      </c>
      <c r="B2" t="s">
        <v>61</v>
      </c>
    </row>
    <row r="3" spans="1:2" x14ac:dyDescent="0.35">
      <c r="A3" t="s">
        <v>62</v>
      </c>
      <c r="B3" t="s">
        <v>63</v>
      </c>
    </row>
    <row r="4" spans="1:2" x14ac:dyDescent="0.35">
      <c r="A4" t="s">
        <v>64</v>
      </c>
      <c r="B4" t="s">
        <v>65</v>
      </c>
    </row>
    <row r="5" spans="1:2" x14ac:dyDescent="0.35">
      <c r="A5" t="s">
        <v>66</v>
      </c>
      <c r="B5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Risk Register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2026-03-28T16:31:13Z</dcterms:created>
  <dcterms:modified xsi:type="dcterms:W3CDTF">2026-03-28T16:40:12Z</dcterms:modified>
</cp:coreProperties>
</file>